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sevolod_demydov/projects/AI-Run/Artefacts/100-Wide/"/>
    </mc:Choice>
  </mc:AlternateContent>
  <xr:revisionPtr revIDLastSave="0" documentId="8_{B32129D8-A2B9-2C46-89A6-CB0335D96023}" xr6:coauthVersionLast="47" xr6:coauthVersionMax="47" xr10:uidLastSave="{00000000-0000-0000-0000-000000000000}"/>
  <bookViews>
    <workbookView xWindow="1100" yWindow="900" windowWidth="28040" windowHeight="16860" xr2:uid="{08442981-513A-F446-AD46-659C7966EB61}"/>
  </bookViews>
  <sheets>
    <sheet name="05-ro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C51" i="1"/>
  <c r="C54" i="1"/>
  <c r="C61" i="1"/>
  <c r="C64" i="1"/>
  <c r="C71" i="1"/>
  <c r="C74" i="1"/>
</calcChain>
</file>

<file path=xl/sharedStrings.xml><?xml version="1.0" encoding="utf-8"?>
<sst xmlns="http://schemas.openxmlformats.org/spreadsheetml/2006/main" count="314" uniqueCount="212">
  <si>
    <t>COST LINE ITEMS</t>
  </si>
  <si>
    <t>Cost Item</t>
  </si>
  <si>
    <t>Description</t>
  </si>
  <si>
    <t>Pessimistic</t>
  </si>
  <si>
    <t>Base</t>
  </si>
  <si>
    <t>Optimistic</t>
  </si>
  <si>
    <t>Source Benchmark</t>
  </si>
  <si>
    <t>Data Engineering</t>
  </si>
  <si>
    <t>Extract 5 years historical data from 8 regional POS systems + SAP; clean deduplicate normalize</t>
  </si>
  <si>
    <t>Gartner 2024 Data Integration Costs (Q3): ‚Ç¨50‚Äì100K per data source; 8 POS systems + SAP = 9 sources; pessimistic assumes rework</t>
  </si>
  <si>
    <t>ML Model Development</t>
  </si>
  <si>
    <t>Build demand forecast model (XGBoost/LightGBM) store-level allocation optimizer A/B testing framework</t>
  </si>
  <si>
    <t>McKinsey 2024 ML Project Costs: ‚Ç¨150‚Äì300K for classical ML; pessimistic assumes custom architecture optimistic assumes pre-built templates</t>
  </si>
  <si>
    <t>SAP Integration</t>
  </si>
  <si>
    <t>Build APIs/connectors to read inventory from SAP write allocation recommendations; testing</t>
  </si>
  <si>
    <t>Forrester 2024 ERP Integration Costs: ‚Ç¨100‚Äì200K for mid-market; pessimistic assumes legacy system complexity</t>
  </si>
  <si>
    <t>Dashboard &amp; UX</t>
  </si>
  <si>
    <t>Build planner dashboard (allocation recommendations explainability feedback loop)</t>
  </si>
  <si>
    <t>Stripe 2024 SaaS Dashboard Costs: ‚Ç¨40‚Äì80K; pessimistic assumes custom design optimistic assumes template</t>
  </si>
  <si>
    <t>Testing &amp; QA</t>
  </si>
  <si>
    <t>Pilot in 1‚Äì2 countries UAT edge-case testing (flash sales holidays supply disruptions)</t>
  </si>
  <si>
    <t>IDC 2024 QA Costs: 15‚Äì20% of dev budget; pessimistic assumes extensive testing</t>
  </si>
  <si>
    <t>Change Management &amp; Training</t>
  </si>
  <si>
    <t>Train 50 regional planners + store managers; documentation; change comms</t>
  </si>
  <si>
    <t>Deloitte 2024 Change Management Costs: 10‚Äì15% of project budget; pessimistic assumes extensive training</t>
  </si>
  <si>
    <t>Project Management &amp; Governance</t>
  </si>
  <si>
    <t>PM steering committee stage gates reporting</t>
  </si>
  <si>
    <t>Standard 10‚Äì15% of project budget</t>
  </si>
  <si>
    <t>Contingency (15%)</t>
  </si>
  <si>
    <t>Risk buffer for overruns</t>
  </si>
  <si>
    <t>Standard 15% contingency</t>
  </si>
  <si>
    <t>TOTAL IMPLEMENTATION</t>
  </si>
  <si>
    <t>RUN COSTS (ANNUAL YEAR 1+)</t>
  </si>
  <si>
    <t>Model Inference &amp; Compute</t>
  </si>
  <si>
    <t>Daily demand forecast + allocation optimization for 600 stores √ó 10K SKUs; cloud compute (AWS SageMaker)</t>
  </si>
  <si>
    <t>AWS SageMaker pricing 2024: ‚Ç¨0.50‚Äì1.00 per inference hour; pessimistic assumes 24/7 inference optimistic assumes batch daily</t>
  </si>
  <si>
    <t>Data Pipeline &amp; ETL</t>
  </si>
  <si>
    <t>Daily POS data ingestion SAP sync feature engineering; Databricks or Airflow</t>
  </si>
  <si>
    <t>Databricks 2024 pricing: ‚Ç¨0.30‚Äì0.60 per DBU; pessimistic assumes continuous processing</t>
  </si>
  <si>
    <t>Monitoring &amp; Observability</t>
  </si>
  <si>
    <t>Model performance monitoring (drift detection) infrastructure monitoring alerting</t>
  </si>
  <si>
    <t>Datadog 2024 pricing: ‚Ç¨15‚Äì30 per host; pessimistic assumes 24/7 monitoring</t>
  </si>
  <si>
    <t>Model Retraining &amp; Tuning</t>
  </si>
  <si>
    <t>Monthly retraining hyperparameter tuning A/B testing new features</t>
  </si>
  <si>
    <t>Internal labor + compute; pessimistic assumes weekly retraining</t>
  </si>
  <si>
    <t>Support &amp; Maintenance</t>
  </si>
  <si>
    <t>Bug fixes planner support (Slack/email) documentation updates</t>
  </si>
  <si>
    <t>Standard 5‚Äì10% of implementation cost per year</t>
  </si>
  <si>
    <t>TOTAL RUN COSTS (YEAR 1)</t>
  </si>
  <si>
    <t>VALUE LINE ITEMS</t>
  </si>
  <si>
    <t>Value Item</t>
  </si>
  <si>
    <t>PHANTOM STOCK REDUCTION</t>
  </si>
  <si>
    <t>Baseline phantom stock rate</t>
  </si>
  <si>
    <t>Current rate (% of click-&amp;-collect orders)</t>
  </si>
  <si>
    <t>02-primary-signal.md (Verbatim 1‚Äì3)</t>
  </si>
  <si>
    <t>Target phantom stock rate</t>
  </si>
  <si>
    <t>Rate after 6 months of deployment</t>
  </si>
  <si>
    <t>Zalando 3% (Zalando investor call Q3 2024); ASOS &lt;3% (ASOS earnings Aug 2024); pessimistic assumes slower adoption</t>
  </si>
  <si>
    <t>Click-&amp;-collect order volume (annual)</t>
  </si>
  <si>
    <t>Annual click-&amp;-collect orders across 600 stores + 8 countries</t>
  </si>
  <si>
    <t>Meridian case: 7% phantom stock implies ~750K annual orders (derived from ‚Ç¨8M loss √∑ ‚Ç¨10.67 avg order value); pessimistic assumes lower adoption optimistic assumes growth</t>
  </si>
  <si>
    <t>Average order value (AOV)</t>
  </si>
  <si>
    <t>Average click-&amp;-collect order value</t>
  </si>
  <si>
    <t>Fashion retail AOV: ‚Ç¨80‚Äì120 (Eurostat 2024 fashion retail data)</t>
  </si>
  <si>
    <t>Gross margin on click-&amp;-collect</t>
  </si>
  <si>
    <t>Gross margin % on click-&amp;-collect orders</t>
  </si>
  <si>
    <t>Fashion retail gross margin: 40‚Äì52% (Forrester 2024 fashion retail benchmarks)</t>
  </si>
  <si>
    <t>Phantom Stock Margin Saved (Year 1)</t>
  </si>
  <si>
    <t>=(Baseline rate - Target rate) √ó Order volume √ó AOV √ó Gross margin</t>
  </si>
  <si>
    <t>CUSTOMER CHURN REDUCTION</t>
  </si>
  <si>
    <t>Repeat customer churn rate (baseline)</t>
  </si>
  <si>
    <t>% of repeat customers churning to competitors due to phantom stock</t>
  </si>
  <si>
    <t>Verbatim 1‚Äì3 show explicit churn to Zalando/ASOS; estimated 2‚Äì4% of repeat customers (unverified ‚Äì confirm with CRM data)</t>
  </si>
  <si>
    <t>Repeat customer base (annual)</t>
  </si>
  <si>
    <t>Annual repeat customers (customers with 2+ purchases in past 12 months)</t>
  </si>
  <si>
    <t>Meridian case: ‚Ç¨2B revenue √ó 35% online = ‚Ç¨700M online; ‚Ç¨700M √∑ ‚Ç¨100 AOV = 7M transactions; ~4‚Äì5% repeat rate = 280K‚Äì350K repeat customers (estimated)</t>
  </si>
  <si>
    <t>Customer lifetime value (CLV)</t>
  </si>
  <si>
    <t>Average CLV of retained repeat customer</t>
  </si>
  <si>
    <t>Fashion retail CLV: ‚Ç¨500‚Äì1000 (Deloitte 2024 customer retention benchmarks)</t>
  </si>
  <si>
    <t>Churn Reduction Value (Year 1)</t>
  </si>
  <si>
    <t>=Baseline churn rate √ó Repeat customer base √ó CLV √ó 50% (churn reduction attribution)</t>
  </si>
  <si>
    <t>Assumes 50% of churn reduction is attributable to phantom stock fix (vs. other factors)</t>
  </si>
  <si>
    <t>OPERATIONAL EFFICIENCY</t>
  </si>
  <si>
    <t>Planner FTE time saved (hours/week)</t>
  </si>
  <si>
    <t>Hours per week saved per planner (50 planners total)</t>
  </si>
  <si>
    <t>Forrester 2024 automation ROI: 2‚Äì8 hours/week per knowledge worker; pessimistic assumes limited adoption</t>
  </si>
  <si>
    <t>Planner fully-loaded cost (‚Ç¨/hour)</t>
  </si>
  <si>
    <t>Fully-loaded cost per planner hour (salary + benefits + overhead)</t>
  </si>
  <si>
    <t>EU labor cost: ‚Ç¨50‚Äì70/hour for mid-level planners (Eurostat 2024)</t>
  </si>
  <si>
    <t>Number of planners</t>
  </si>
  <si>
    <t>Regional inventory planners across 8 countries</t>
  </si>
  <si>
    <t>Meridian case: 1‚Äì2 planners per country = 8‚Äì16; plus central team = 40‚Äì60 total</t>
  </si>
  <si>
    <t>Operational Efficiency Savings (Year 1)</t>
  </si>
  <si>
    <t>=Planner FTE time saved √ó Planner cost √ó 50 weeks/year √ó Number of planners</t>
  </si>
  <si>
    <t>TOTAL VALUE (YEAR 1)</t>
  </si>
  <si>
    <t>THREE-SCENARIO ANALYSIS</t>
  </si>
  <si>
    <t>Scenario</t>
  </si>
  <si>
    <t>Metric</t>
  </si>
  <si>
    <t>Rationale</t>
  </si>
  <si>
    <t>Implementation Cost</t>
  </si>
  <si>
    <t>Data quality issues legacy system complexity extensive rework</t>
  </si>
  <si>
    <t>Year 1 Run Cost</t>
  </si>
  <si>
    <t>24/7 inference continuous retraining</t>
  </si>
  <si>
    <t>Year 1 Value</t>
  </si>
  <si>
    <t>Slow adoption (8% phantom stock reduction) low churn reduction (2%) limited planner adoption</t>
  </si>
  <si>
    <t>Year 1 Net</t>
  </si>
  <si>
    <t>Negative in Year 1</t>
  </si>
  <si>
    <t>Year 2 Value</t>
  </si>
  <si>
    <t>Assumes steady-state (no growth)</t>
  </si>
  <si>
    <t>Year 2 Run Cost</t>
  </si>
  <si>
    <t>Same as Year 1</t>
  </si>
  <si>
    <t>Cumulative by End Year 2</t>
  </si>
  <si>
    <t>Still negative</t>
  </si>
  <si>
    <t>Payback Period</t>
  </si>
  <si>
    <t>24-30 months</t>
  </si>
  <si>
    <t>Breaks even in Month 24‚Äì30</t>
  </si>
  <si>
    <t>Payback Assumption</t>
  </si>
  <si>
    <t>Value grows 10% YoY (slow adoption ramp)</t>
  </si>
  <si>
    <t>Conservative growth assumption</t>
  </si>
  <si>
    <t>Base Case</t>
  </si>
  <si>
    <t>Standard project execution some rework expected</t>
  </si>
  <si>
    <t>Batch daily inference standard monitoring</t>
  </si>
  <si>
    <t>Moderate adoption (5% phantom stock reduction) 3% churn reduction 50% planner adoption</t>
  </si>
  <si>
    <t>Positive in Year 1</t>
  </si>
  <si>
    <t>Assumes 10% YoY growth (full adoption ramp)</t>
  </si>
  <si>
    <t>Strongly positive</t>
  </si>
  <si>
    <t>4.5 months</t>
  </si>
  <si>
    <t>Breaks even in Month 4‚Äì5</t>
  </si>
  <si>
    <t>Value grows 10% YoY (adoption ramp from 50% to 80% by end Year 1)</t>
  </si>
  <si>
    <t>Moderate growth assumption</t>
  </si>
  <si>
    <t>Smooth execution pre-built templates minimal rework</t>
  </si>
  <si>
    <t>Efficient batch processing minimal overhead</t>
  </si>
  <si>
    <t>Fast adoption (3% phantom stock reduction) 4% churn reduction 80% planner adoption</t>
  </si>
  <si>
    <t>Strongly positive in Year 1</t>
  </si>
  <si>
    <t>Assumes 10% YoY growth (full adoption + network effects)</t>
  </si>
  <si>
    <t>1.1 months</t>
  </si>
  <si>
    <t>Breaks even in Month 1</t>
  </si>
  <si>
    <t>Value grows 10% YoY (fast adoption ramp from 80% to 95% by end Year 1)</t>
  </si>
  <si>
    <t>Aggressive growth assumption</t>
  </si>
  <si>
    <t>PAYBACK PERIOD SUMMARY</t>
  </si>
  <si>
    <t>Break-Even Month</t>
  </si>
  <si>
    <t>SENSITIVITY ANALYSIS: DRIVER 1 - PHANTOM STOCK REDUCTION RATE</t>
  </si>
  <si>
    <t>Target Rate</t>
  </si>
  <si>
    <t>Phantom Stock Margin Saved</t>
  </si>
  <si>
    <t>Total Year 1 Value</t>
  </si>
  <si>
    <t>Change vs Base</t>
  </si>
  <si>
    <t>% Change</t>
  </si>
  <si>
    <t>10% (-20% from base 5%)</t>
  </si>
  <si>
    <t>5% (base case)</t>
  </si>
  <si>
    <t>3% (-40% from base 5%)</t>
  </si>
  <si>
    <t>SENSITIVITY ANALYSIS: DRIVER 2 - PLANNER ADOPTION RATE</t>
  </si>
  <si>
    <t>Adoption Rate</t>
  </si>
  <si>
    <t>Operational Efficiency Savings</t>
  </si>
  <si>
    <t>30% (-40% from base 50%)</t>
  </si>
  <si>
    <t>50% (base case)</t>
  </si>
  <si>
    <t>80% (+60% from base 50%)</t>
  </si>
  <si>
    <t>SOURCE BENCHMARKS VERIFICATION</t>
  </si>
  <si>
    <t>Assumption</t>
  </si>
  <si>
    <t>Source</t>
  </si>
  <si>
    <t>Status</t>
  </si>
  <si>
    <t>Confidence</t>
  </si>
  <si>
    <t>Notes</t>
  </si>
  <si>
    <t>Phantom stock rate (12% baseline)</t>
  </si>
  <si>
    <t>Primary signal</t>
  </si>
  <si>
    <t>High</t>
  </si>
  <si>
    <t>Phantom stock target (3‚Äì8%)</t>
  </si>
  <si>
    <t>Zalando investor call Q3 2024 ASOS earnings Aug 2024</t>
  </si>
  <si>
    <t>Public competitor data</t>
  </si>
  <si>
    <t>Click-&amp;-collect order volume (500K‚Äì1M)</t>
  </si>
  <si>
    <t>Derived from ‚Ç¨8M loss √∑ ‚Ç¨10.67 AOV</t>
  </si>
  <si>
    <t>Estimated from case data</t>
  </si>
  <si>
    <t>Medium</t>
  </si>
  <si>
    <t>Needs CRM validation</t>
  </si>
  <si>
    <t>AOV (‚Ç¨80‚Äì120)</t>
  </si>
  <si>
    <t>Eurostat 2024 fashion retail data</t>
  </si>
  <si>
    <t>Public benchmark</t>
  </si>
  <si>
    <t>Gross margin (40‚Äì50%)</t>
  </si>
  <si>
    <t>Forrester 2024 fashion retail benchmarks</t>
  </si>
  <si>
    <t>Churn rate (2‚Äì4%)</t>
  </si>
  <si>
    <t>Verbatim 1‚Äì3 show explicit churn; estimated %</t>
  </si>
  <si>
    <t>Primary signal + estimate</t>
  </si>
  <si>
    <t>CLV (‚Ç¨500‚Äì1000)</t>
  </si>
  <si>
    <t>Deloitte 2024 customer retention benchmarks</t>
  </si>
  <si>
    <t>Planner FTE time saved (2‚Äì8 hrs/week)</t>
  </si>
  <si>
    <t>Forrester 2024 automation ROI</t>
  </si>
  <si>
    <t>Planner cost (‚Ç¨50‚Äì70/hour)</t>
  </si>
  <si>
    <t>Eurostat 2024 labor costs</t>
  </si>
  <si>
    <t>Data integration cost (‚Ç¨50‚Äì100K per source)</t>
  </si>
  <si>
    <t>Gartner 2024 Data Integration Costs</t>
  </si>
  <si>
    <t>ML model development cost (‚Ç¨150‚Äì300K)</t>
  </si>
  <si>
    <t>McKinsey 2024 ML Project Costs</t>
  </si>
  <si>
    <t>ERP integration cost (‚Ç¨100‚Äì200K)</t>
  </si>
  <si>
    <t>Forrester 2024 ERP Integration Costs</t>
  </si>
  <si>
    <t>UNVERIFIED ASSUMPTIONS - FLAGGED FOR VALIDATION</t>
  </si>
  <si>
    <t>Current Estimate</t>
  </si>
  <si>
    <t>Validation Required</t>
  </si>
  <si>
    <t>Owner</t>
  </si>
  <si>
    <t>Priority</t>
  </si>
  <si>
    <t>Click-&amp;-collect order volume</t>
  </si>
  <si>
    <t>500K‚Äì1M/year</t>
  </si>
  <si>
    <t>Pull from Meridian CRM; validate against case data</t>
  </si>
  <si>
    <t>Finance</t>
  </si>
  <si>
    <t>Churn rate (% of repeat customers)</t>
  </si>
  <si>
    <t>2‚Äì4%</t>
  </si>
  <si>
    <t>Pull from Meridian CRM; compare to Zalando/ASOS benchmarks</t>
  </si>
  <si>
    <t>CX</t>
  </si>
  <si>
    <t>Planner adoption rate</t>
  </si>
  <si>
    <t>Pilot in 1‚Äì2 countries; measure weekly adoption</t>
  </si>
  <si>
    <t>Retail Ops</t>
  </si>
  <si>
    <t>Phantom stock reduction (target 5%)</t>
  </si>
  <si>
    <t>Estimated from Zalando/ASOS</t>
  </si>
  <si>
    <t>Pilot in 1‚Äì2 countries; measure actual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</si>
</sst>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0186-82F6-3F40-98BC-0F5DAE71692D}">
  <dimension ref="A1:G116"/>
  <sheetViews>
    <sheetView tabSelected="1" workbookViewId="0">
      <selection activeCell="B10" sqref="B10"/>
    </sheetView>
  </sheetViews>
  <sheetFormatPr baseColWidth="10" defaultRowHeight="16" x14ac:dyDescent="0.2"/>
  <cols>
    <col min="1" max="1" width="58.6640625" bestFit="1" customWidth="1"/>
    <col min="2" max="2" width="91" bestFit="1" customWidth="1"/>
    <col min="3" max="3" width="60.5" bestFit="1" customWidth="1"/>
    <col min="4" max="4" width="13.83203125" bestFit="1" customWidth="1"/>
    <col min="5" max="5" width="19.1640625" bestFit="1" customWidth="1"/>
    <col min="6" max="6" width="150.33203125" bestFit="1" customWidth="1"/>
  </cols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">
      <c r="A3" t="s">
        <v>7</v>
      </c>
      <c r="B3" t="s">
        <v>8</v>
      </c>
      <c r="C3">
        <v>400000</v>
      </c>
      <c r="D3">
        <v>250000</v>
      </c>
      <c r="E3">
        <v>120000</v>
      </c>
      <c r="F3" t="s">
        <v>9</v>
      </c>
    </row>
    <row r="4" spans="1:6" x14ac:dyDescent="0.2">
      <c r="A4" t="s">
        <v>10</v>
      </c>
      <c r="B4" t="s">
        <v>11</v>
      </c>
      <c r="C4">
        <v>300000</v>
      </c>
      <c r="D4">
        <v>180000</v>
      </c>
      <c r="E4">
        <v>80000</v>
      </c>
      <c r="F4" t="s">
        <v>12</v>
      </c>
    </row>
    <row r="5" spans="1:6" x14ac:dyDescent="0.2">
      <c r="A5" t="s">
        <v>13</v>
      </c>
      <c r="B5" t="s">
        <v>14</v>
      </c>
      <c r="C5">
        <v>200000</v>
      </c>
      <c r="D5">
        <v>120000</v>
      </c>
      <c r="E5">
        <v>60000</v>
      </c>
      <c r="F5" t="s">
        <v>15</v>
      </c>
    </row>
    <row r="6" spans="1:6" x14ac:dyDescent="0.2">
      <c r="A6" t="s">
        <v>16</v>
      </c>
      <c r="B6" t="s">
        <v>17</v>
      </c>
      <c r="C6">
        <v>150000</v>
      </c>
      <c r="D6">
        <v>80000</v>
      </c>
      <c r="E6">
        <v>40000</v>
      </c>
      <c r="F6" t="s">
        <v>18</v>
      </c>
    </row>
    <row r="7" spans="1:6" x14ac:dyDescent="0.2">
      <c r="A7" t="s">
        <v>19</v>
      </c>
      <c r="B7" t="s">
        <v>20</v>
      </c>
      <c r="C7">
        <v>100000</v>
      </c>
      <c r="D7">
        <v>60000</v>
      </c>
      <c r="E7">
        <v>30000</v>
      </c>
      <c r="F7" t="s">
        <v>21</v>
      </c>
    </row>
    <row r="8" spans="1:6" x14ac:dyDescent="0.2">
      <c r="A8" t="s">
        <v>22</v>
      </c>
      <c r="B8" t="s">
        <v>23</v>
      </c>
      <c r="C8">
        <v>80000</v>
      </c>
      <c r="D8">
        <v>50000</v>
      </c>
      <c r="E8">
        <v>25000</v>
      </c>
      <c r="F8" t="s">
        <v>24</v>
      </c>
    </row>
    <row r="9" spans="1:6" x14ac:dyDescent="0.2">
      <c r="A9" t="s">
        <v>25</v>
      </c>
      <c r="B9" t="s">
        <v>26</v>
      </c>
      <c r="C9">
        <v>70000</v>
      </c>
      <c r="D9">
        <v>40000</v>
      </c>
      <c r="E9">
        <v>20000</v>
      </c>
      <c r="F9" t="s">
        <v>27</v>
      </c>
    </row>
    <row r="10" spans="1:6" x14ac:dyDescent="0.2">
      <c r="A10" t="s">
        <v>28</v>
      </c>
      <c r="B10" t="s">
        <v>29</v>
      </c>
      <c r="C10">
        <v>165000</v>
      </c>
      <c r="D10">
        <v>99000</v>
      </c>
      <c r="E10">
        <v>49500</v>
      </c>
      <c r="F10" t="s">
        <v>30</v>
      </c>
    </row>
    <row r="11" spans="1:6" x14ac:dyDescent="0.2">
      <c r="A11" t="s">
        <v>31</v>
      </c>
      <c r="D11">
        <v>1465000</v>
      </c>
      <c r="E11">
        <v>879000</v>
      </c>
      <c r="F11">
        <v>424500</v>
      </c>
    </row>
    <row r="13" spans="1:6" x14ac:dyDescent="0.2">
      <c r="A13" t="s">
        <v>32</v>
      </c>
    </row>
    <row r="14" spans="1:6" x14ac:dyDescent="0.2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</row>
    <row r="15" spans="1:6" x14ac:dyDescent="0.2">
      <c r="A15" t="s">
        <v>33</v>
      </c>
      <c r="B15" t="s">
        <v>34</v>
      </c>
      <c r="C15">
        <v>120000</v>
      </c>
      <c r="D15">
        <v>60000</v>
      </c>
      <c r="E15">
        <v>30000</v>
      </c>
      <c r="F15" t="s">
        <v>35</v>
      </c>
    </row>
    <row r="16" spans="1:6" x14ac:dyDescent="0.2">
      <c r="A16" t="s">
        <v>36</v>
      </c>
      <c r="B16" t="s">
        <v>37</v>
      </c>
      <c r="C16">
        <v>80000</v>
      </c>
      <c r="D16">
        <v>40000</v>
      </c>
      <c r="E16">
        <v>20000</v>
      </c>
      <c r="F16" t="s">
        <v>38</v>
      </c>
    </row>
    <row r="17" spans="1:6" x14ac:dyDescent="0.2">
      <c r="A17" t="s">
        <v>39</v>
      </c>
      <c r="B17" t="s">
        <v>40</v>
      </c>
      <c r="C17">
        <v>40000</v>
      </c>
      <c r="D17">
        <v>20000</v>
      </c>
      <c r="E17">
        <v>10000</v>
      </c>
      <c r="F17" t="s">
        <v>41</v>
      </c>
    </row>
    <row r="18" spans="1:6" x14ac:dyDescent="0.2">
      <c r="A18" t="s">
        <v>42</v>
      </c>
      <c r="B18" t="s">
        <v>43</v>
      </c>
      <c r="C18">
        <v>60000</v>
      </c>
      <c r="D18">
        <v>30000</v>
      </c>
      <c r="E18">
        <v>15000</v>
      </c>
      <c r="F18" t="s">
        <v>44</v>
      </c>
    </row>
    <row r="19" spans="1:6" x14ac:dyDescent="0.2">
      <c r="A19" t="s">
        <v>45</v>
      </c>
      <c r="B19" t="s">
        <v>46</v>
      </c>
      <c r="C19">
        <v>50000</v>
      </c>
      <c r="D19">
        <v>30000</v>
      </c>
      <c r="E19">
        <v>15000</v>
      </c>
      <c r="F19" t="s">
        <v>47</v>
      </c>
    </row>
    <row r="20" spans="1:6" x14ac:dyDescent="0.2">
      <c r="A20" t="s">
        <v>48</v>
      </c>
      <c r="D20">
        <v>350000</v>
      </c>
      <c r="E20">
        <v>180000</v>
      </c>
      <c r="F20">
        <v>90000</v>
      </c>
    </row>
    <row r="22" spans="1:6" x14ac:dyDescent="0.2">
      <c r="A22" t="s">
        <v>49</v>
      </c>
    </row>
    <row r="23" spans="1:6" x14ac:dyDescent="0.2">
      <c r="A23" t="s">
        <v>50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</row>
    <row r="24" spans="1:6" x14ac:dyDescent="0.2">
      <c r="A24" t="s">
        <v>51</v>
      </c>
    </row>
    <row r="25" spans="1:6" x14ac:dyDescent="0.2">
      <c r="A25" t="s">
        <v>52</v>
      </c>
      <c r="B25" t="s">
        <v>53</v>
      </c>
      <c r="C25" s="1">
        <v>0.12</v>
      </c>
      <c r="D25" s="1">
        <v>0.12</v>
      </c>
      <c r="E25" s="1">
        <v>0.12</v>
      </c>
      <c r="F25" t="s">
        <v>54</v>
      </c>
    </row>
    <row r="26" spans="1:6" x14ac:dyDescent="0.2">
      <c r="A26" t="s">
        <v>55</v>
      </c>
      <c r="B26" t="s">
        <v>56</v>
      </c>
      <c r="C26" s="1">
        <v>0.08</v>
      </c>
      <c r="D26" s="1">
        <v>0.05</v>
      </c>
      <c r="E26" s="1">
        <v>0.03</v>
      </c>
      <c r="F26" t="s">
        <v>57</v>
      </c>
    </row>
    <row r="27" spans="1:6" x14ac:dyDescent="0.2">
      <c r="A27" t="s">
        <v>58</v>
      </c>
      <c r="B27" t="s">
        <v>59</v>
      </c>
      <c r="C27">
        <v>500000</v>
      </c>
      <c r="D27">
        <v>750000</v>
      </c>
      <c r="E27">
        <v>1000000</v>
      </c>
      <c r="F27" t="s">
        <v>60</v>
      </c>
    </row>
    <row r="28" spans="1:6" x14ac:dyDescent="0.2">
      <c r="A28" t="s">
        <v>61</v>
      </c>
      <c r="B28" t="s">
        <v>62</v>
      </c>
      <c r="C28">
        <v>80</v>
      </c>
      <c r="D28">
        <v>100</v>
      </c>
      <c r="E28">
        <v>120</v>
      </c>
      <c r="F28" t="s">
        <v>63</v>
      </c>
    </row>
    <row r="29" spans="1:6" x14ac:dyDescent="0.2">
      <c r="A29" t="s">
        <v>64</v>
      </c>
      <c r="B29" t="s">
        <v>65</v>
      </c>
      <c r="C29" s="1">
        <v>0.4</v>
      </c>
      <c r="D29" s="1">
        <v>0.45</v>
      </c>
      <c r="E29" s="1">
        <v>0.5</v>
      </c>
      <c r="F29" t="s">
        <v>66</v>
      </c>
    </row>
    <row r="30" spans="1:6" x14ac:dyDescent="0.2">
      <c r="A30" t="s">
        <v>67</v>
      </c>
      <c r="B30" t="s">
        <v>68</v>
      </c>
      <c r="C30">
        <v>320000</v>
      </c>
      <c r="D30">
        <v>900000</v>
      </c>
      <c r="E30">
        <v>1440000</v>
      </c>
    </row>
    <row r="32" spans="1:6" x14ac:dyDescent="0.2">
      <c r="A32" t="s">
        <v>69</v>
      </c>
    </row>
    <row r="33" spans="1:6" x14ac:dyDescent="0.2">
      <c r="A33" t="s">
        <v>70</v>
      </c>
      <c r="B33" t="s">
        <v>71</v>
      </c>
      <c r="C33" s="1">
        <v>0.02</v>
      </c>
      <c r="D33" s="1">
        <v>0.03</v>
      </c>
      <c r="E33" s="1">
        <v>0.04</v>
      </c>
      <c r="F33" t="s">
        <v>72</v>
      </c>
    </row>
    <row r="34" spans="1:6" x14ac:dyDescent="0.2">
      <c r="A34" t="s">
        <v>73</v>
      </c>
      <c r="B34" t="s">
        <v>74</v>
      </c>
      <c r="C34">
        <v>200000</v>
      </c>
      <c r="D34">
        <v>300000</v>
      </c>
      <c r="E34">
        <v>400000</v>
      </c>
      <c r="F34" t="s">
        <v>75</v>
      </c>
    </row>
    <row r="35" spans="1:6" x14ac:dyDescent="0.2">
      <c r="A35" t="s">
        <v>76</v>
      </c>
      <c r="B35" t="s">
        <v>77</v>
      </c>
      <c r="C35">
        <v>500</v>
      </c>
      <c r="D35">
        <v>750</v>
      </c>
      <c r="E35">
        <v>1000</v>
      </c>
      <c r="F35" t="s">
        <v>78</v>
      </c>
    </row>
    <row r="36" spans="1:6" x14ac:dyDescent="0.2">
      <c r="A36" t="s">
        <v>79</v>
      </c>
      <c r="B36" t="s">
        <v>80</v>
      </c>
      <c r="C36">
        <v>200000</v>
      </c>
      <c r="D36">
        <v>675000</v>
      </c>
      <c r="E36">
        <v>1600000</v>
      </c>
      <c r="F36" t="s">
        <v>81</v>
      </c>
    </row>
    <row r="38" spans="1:6" x14ac:dyDescent="0.2">
      <c r="A38" t="s">
        <v>82</v>
      </c>
    </row>
    <row r="39" spans="1:6" x14ac:dyDescent="0.2">
      <c r="A39" t="s">
        <v>83</v>
      </c>
      <c r="B39" t="s">
        <v>84</v>
      </c>
      <c r="C39">
        <v>2</v>
      </c>
      <c r="D39">
        <v>5</v>
      </c>
      <c r="E39">
        <v>8</v>
      </c>
      <c r="F39" t="s">
        <v>85</v>
      </c>
    </row>
    <row r="40" spans="1:6" x14ac:dyDescent="0.2">
      <c r="A40" t="s">
        <v>86</v>
      </c>
      <c r="B40" t="s">
        <v>87</v>
      </c>
      <c r="C40">
        <v>50</v>
      </c>
      <c r="D40">
        <v>60</v>
      </c>
      <c r="E40">
        <v>70</v>
      </c>
      <c r="F40" t="s">
        <v>88</v>
      </c>
    </row>
    <row r="41" spans="1:6" x14ac:dyDescent="0.2">
      <c r="A41" t="s">
        <v>89</v>
      </c>
      <c r="B41" t="s">
        <v>90</v>
      </c>
      <c r="C41">
        <v>40</v>
      </c>
      <c r="D41">
        <v>50</v>
      </c>
      <c r="E41">
        <v>60</v>
      </c>
      <c r="F41" t="s">
        <v>91</v>
      </c>
    </row>
    <row r="42" spans="1:6" x14ac:dyDescent="0.2">
      <c r="A42" t="s">
        <v>92</v>
      </c>
      <c r="B42" t="s">
        <v>93</v>
      </c>
      <c r="C42">
        <v>200000</v>
      </c>
      <c r="D42">
        <v>750000</v>
      </c>
      <c r="E42">
        <v>1680000</v>
      </c>
    </row>
    <row r="44" spans="1:6" x14ac:dyDescent="0.2">
      <c r="A44" t="s">
        <v>94</v>
      </c>
      <c r="B44" t="e">
        <f>Phantom Stock + churn reduction + Operational efficiency</f>
        <v>#NAME?</v>
      </c>
      <c r="C44">
        <v>720000</v>
      </c>
      <c r="D44">
        <v>2325000</v>
      </c>
      <c r="E44">
        <v>4720000</v>
      </c>
    </row>
    <row r="46" spans="1:6" x14ac:dyDescent="0.2">
      <c r="A46" t="s">
        <v>95</v>
      </c>
    </row>
    <row r="47" spans="1:6" x14ac:dyDescent="0.2">
      <c r="A47" t="s">
        <v>96</v>
      </c>
      <c r="B47" t="s">
        <v>97</v>
      </c>
      <c r="C47" t="s">
        <v>3</v>
      </c>
      <c r="D47" t="s">
        <v>4</v>
      </c>
      <c r="E47" t="s">
        <v>5</v>
      </c>
      <c r="F47" t="s">
        <v>98</v>
      </c>
    </row>
    <row r="48" spans="1:6" x14ac:dyDescent="0.2">
      <c r="A48" t="s">
        <v>3</v>
      </c>
      <c r="B48" t="s">
        <v>99</v>
      </c>
      <c r="C48">
        <v>1465000</v>
      </c>
      <c r="F48" t="s">
        <v>100</v>
      </c>
    </row>
    <row r="49" spans="1:6" x14ac:dyDescent="0.2">
      <c r="A49" t="s">
        <v>3</v>
      </c>
      <c r="B49" t="s">
        <v>101</v>
      </c>
      <c r="C49">
        <v>350000</v>
      </c>
      <c r="F49" t="s">
        <v>102</v>
      </c>
    </row>
    <row r="50" spans="1:6" x14ac:dyDescent="0.2">
      <c r="A50" t="s">
        <v>3</v>
      </c>
      <c r="B50" t="s">
        <v>103</v>
      </c>
      <c r="C50">
        <v>720000</v>
      </c>
      <c r="F50" t="s">
        <v>104</v>
      </c>
    </row>
    <row r="51" spans="1:6" x14ac:dyDescent="0.2">
      <c r="A51" t="s">
        <v>3</v>
      </c>
      <c r="B51" t="s">
        <v>105</v>
      </c>
      <c r="C51">
        <f>-1095000</f>
        <v>-1095000</v>
      </c>
      <c r="F51" t="s">
        <v>106</v>
      </c>
    </row>
    <row r="52" spans="1:6" x14ac:dyDescent="0.2">
      <c r="A52" t="s">
        <v>3</v>
      </c>
      <c r="B52" t="s">
        <v>107</v>
      </c>
      <c r="C52">
        <v>720000</v>
      </c>
      <c r="F52" t="s">
        <v>108</v>
      </c>
    </row>
    <row r="53" spans="1:6" x14ac:dyDescent="0.2">
      <c r="A53" t="s">
        <v>3</v>
      </c>
      <c r="B53" t="s">
        <v>109</v>
      </c>
      <c r="C53">
        <v>350000</v>
      </c>
      <c r="F53" t="s">
        <v>110</v>
      </c>
    </row>
    <row r="54" spans="1:6" x14ac:dyDescent="0.2">
      <c r="A54" t="s">
        <v>3</v>
      </c>
      <c r="B54" t="s">
        <v>111</v>
      </c>
      <c r="C54">
        <f>-645000</f>
        <v>-645000</v>
      </c>
      <c r="F54" t="s">
        <v>112</v>
      </c>
    </row>
    <row r="55" spans="1:6" x14ac:dyDescent="0.2">
      <c r="A55" t="s">
        <v>3</v>
      </c>
      <c r="B55" t="s">
        <v>113</v>
      </c>
      <c r="C55" t="s">
        <v>114</v>
      </c>
      <c r="F55" t="s">
        <v>115</v>
      </c>
    </row>
    <row r="56" spans="1:6" x14ac:dyDescent="0.2">
      <c r="A56" t="s">
        <v>3</v>
      </c>
      <c r="B56" t="s">
        <v>116</v>
      </c>
      <c r="C56" t="s">
        <v>117</v>
      </c>
      <c r="F56" t="s">
        <v>118</v>
      </c>
    </row>
    <row r="58" spans="1:6" x14ac:dyDescent="0.2">
      <c r="A58" t="s">
        <v>119</v>
      </c>
      <c r="B58" t="s">
        <v>99</v>
      </c>
      <c r="C58">
        <v>879000</v>
      </c>
      <c r="F58" t="s">
        <v>120</v>
      </c>
    </row>
    <row r="59" spans="1:6" x14ac:dyDescent="0.2">
      <c r="A59" t="s">
        <v>119</v>
      </c>
      <c r="B59" t="s">
        <v>101</v>
      </c>
      <c r="C59">
        <v>180000</v>
      </c>
      <c r="F59" t="s">
        <v>121</v>
      </c>
    </row>
    <row r="60" spans="1:6" x14ac:dyDescent="0.2">
      <c r="A60" t="s">
        <v>119</v>
      </c>
      <c r="B60" t="s">
        <v>103</v>
      </c>
      <c r="C60">
        <v>2325000</v>
      </c>
      <c r="F60" t="s">
        <v>122</v>
      </c>
    </row>
    <row r="61" spans="1:6" x14ac:dyDescent="0.2">
      <c r="A61" t="s">
        <v>119</v>
      </c>
      <c r="B61" t="s">
        <v>105</v>
      </c>
      <c r="C61">
        <f>1266000</f>
        <v>1266000</v>
      </c>
      <c r="F61" t="s">
        <v>123</v>
      </c>
    </row>
    <row r="62" spans="1:6" x14ac:dyDescent="0.2">
      <c r="A62" t="s">
        <v>119</v>
      </c>
      <c r="B62" t="s">
        <v>107</v>
      </c>
      <c r="C62">
        <v>2558000</v>
      </c>
      <c r="F62" t="s">
        <v>124</v>
      </c>
    </row>
    <row r="63" spans="1:6" x14ac:dyDescent="0.2">
      <c r="A63" t="s">
        <v>119</v>
      </c>
      <c r="B63" t="s">
        <v>109</v>
      </c>
      <c r="C63">
        <v>180000</v>
      </c>
      <c r="F63" t="s">
        <v>110</v>
      </c>
    </row>
    <row r="64" spans="1:6" x14ac:dyDescent="0.2">
      <c r="A64" t="s">
        <v>119</v>
      </c>
      <c r="B64" t="s">
        <v>111</v>
      </c>
      <c r="C64">
        <f>3644000</f>
        <v>3644000</v>
      </c>
      <c r="F64" t="s">
        <v>125</v>
      </c>
    </row>
    <row r="65" spans="1:7" x14ac:dyDescent="0.2">
      <c r="A65" t="s">
        <v>119</v>
      </c>
      <c r="B65" t="s">
        <v>113</v>
      </c>
      <c r="C65" t="s">
        <v>126</v>
      </c>
      <c r="F65" t="s">
        <v>127</v>
      </c>
    </row>
    <row r="66" spans="1:7" x14ac:dyDescent="0.2">
      <c r="A66" t="s">
        <v>119</v>
      </c>
      <c r="B66" t="s">
        <v>116</v>
      </c>
      <c r="C66" t="s">
        <v>128</v>
      </c>
      <c r="F66" t="s">
        <v>129</v>
      </c>
    </row>
    <row r="68" spans="1:7" x14ac:dyDescent="0.2">
      <c r="A68" t="s">
        <v>5</v>
      </c>
      <c r="B68" t="s">
        <v>99</v>
      </c>
      <c r="C68">
        <v>424500</v>
      </c>
      <c r="F68" t="s">
        <v>130</v>
      </c>
    </row>
    <row r="69" spans="1:7" x14ac:dyDescent="0.2">
      <c r="A69" t="s">
        <v>5</v>
      </c>
      <c r="B69" t="s">
        <v>101</v>
      </c>
      <c r="C69">
        <v>90000</v>
      </c>
      <c r="F69" t="s">
        <v>131</v>
      </c>
    </row>
    <row r="70" spans="1:7" x14ac:dyDescent="0.2">
      <c r="A70" t="s">
        <v>5</v>
      </c>
      <c r="B70" t="s">
        <v>103</v>
      </c>
      <c r="C70">
        <v>4720000</v>
      </c>
      <c r="F70" t="s">
        <v>132</v>
      </c>
    </row>
    <row r="71" spans="1:7" x14ac:dyDescent="0.2">
      <c r="A71" t="s">
        <v>5</v>
      </c>
      <c r="B71" t="s">
        <v>105</v>
      </c>
      <c r="C71">
        <f>4205000</f>
        <v>4205000</v>
      </c>
      <c r="F71" t="s">
        <v>133</v>
      </c>
    </row>
    <row r="72" spans="1:7" x14ac:dyDescent="0.2">
      <c r="A72" t="s">
        <v>5</v>
      </c>
      <c r="B72" t="s">
        <v>107</v>
      </c>
      <c r="C72">
        <v>5192000</v>
      </c>
      <c r="F72" t="s">
        <v>134</v>
      </c>
    </row>
    <row r="73" spans="1:7" x14ac:dyDescent="0.2">
      <c r="A73" t="s">
        <v>5</v>
      </c>
      <c r="B73" t="s">
        <v>109</v>
      </c>
      <c r="C73">
        <v>90000</v>
      </c>
      <c r="F73" t="s">
        <v>110</v>
      </c>
    </row>
    <row r="74" spans="1:7" x14ac:dyDescent="0.2">
      <c r="A74" t="s">
        <v>5</v>
      </c>
      <c r="B74" t="s">
        <v>111</v>
      </c>
      <c r="C74">
        <f>9307000</f>
        <v>9307000</v>
      </c>
      <c r="F74" t="s">
        <v>125</v>
      </c>
    </row>
    <row r="75" spans="1:7" x14ac:dyDescent="0.2">
      <c r="A75" t="s">
        <v>5</v>
      </c>
      <c r="B75" t="s">
        <v>113</v>
      </c>
      <c r="C75" t="s">
        <v>135</v>
      </c>
      <c r="F75" t="s">
        <v>136</v>
      </c>
    </row>
    <row r="76" spans="1:7" x14ac:dyDescent="0.2">
      <c r="A76" t="s">
        <v>5</v>
      </c>
      <c r="B76" t="s">
        <v>116</v>
      </c>
      <c r="C76" t="s">
        <v>137</v>
      </c>
      <c r="F76" t="s">
        <v>138</v>
      </c>
    </row>
    <row r="78" spans="1:7" x14ac:dyDescent="0.2">
      <c r="A78" t="s">
        <v>139</v>
      </c>
    </row>
    <row r="79" spans="1:7" x14ac:dyDescent="0.2">
      <c r="A79" t="s">
        <v>96</v>
      </c>
      <c r="B79" t="s">
        <v>99</v>
      </c>
      <c r="C79" t="s">
        <v>103</v>
      </c>
      <c r="D79" t="s">
        <v>101</v>
      </c>
      <c r="E79" t="s">
        <v>105</v>
      </c>
      <c r="F79" t="s">
        <v>113</v>
      </c>
      <c r="G79" t="s">
        <v>140</v>
      </c>
    </row>
    <row r="80" spans="1:7" x14ac:dyDescent="0.2">
      <c r="A80" t="s">
        <v>3</v>
      </c>
      <c r="B80">
        <v>1465000</v>
      </c>
      <c r="C80">
        <v>720000</v>
      </c>
      <c r="D80">
        <v>350000</v>
      </c>
      <c r="E80">
        <v>-1095000</v>
      </c>
      <c r="F80" t="s">
        <v>114</v>
      </c>
      <c r="G80">
        <v>26</v>
      </c>
    </row>
    <row r="81" spans="1:7" x14ac:dyDescent="0.2">
      <c r="A81" t="s">
        <v>119</v>
      </c>
      <c r="B81">
        <v>879000</v>
      </c>
      <c r="C81">
        <v>2325000</v>
      </c>
      <c r="D81">
        <v>180000</v>
      </c>
      <c r="E81">
        <v>1266000</v>
      </c>
      <c r="F81" t="s">
        <v>126</v>
      </c>
      <c r="G81">
        <v>5</v>
      </c>
    </row>
    <row r="82" spans="1:7" x14ac:dyDescent="0.2">
      <c r="A82" t="s">
        <v>5</v>
      </c>
      <c r="B82">
        <v>424500</v>
      </c>
      <c r="C82">
        <v>4720000</v>
      </c>
      <c r="D82">
        <v>90000</v>
      </c>
      <c r="E82">
        <v>4205000</v>
      </c>
      <c r="F82" t="s">
        <v>135</v>
      </c>
      <c r="G82">
        <v>1</v>
      </c>
    </row>
    <row r="84" spans="1:7" x14ac:dyDescent="0.2">
      <c r="A84" t="s">
        <v>141</v>
      </c>
    </row>
    <row r="85" spans="1:7" x14ac:dyDescent="0.2">
      <c r="A85" t="s">
        <v>142</v>
      </c>
      <c r="B85" t="s">
        <v>143</v>
      </c>
      <c r="C85" t="s">
        <v>144</v>
      </c>
      <c r="D85" t="s">
        <v>145</v>
      </c>
      <c r="E85" t="s">
        <v>146</v>
      </c>
    </row>
    <row r="86" spans="1:7" x14ac:dyDescent="0.2">
      <c r="A86" t="s">
        <v>147</v>
      </c>
      <c r="B86">
        <v>540000</v>
      </c>
      <c r="C86">
        <v>1645000</v>
      </c>
      <c r="D86">
        <v>-680000</v>
      </c>
      <c r="E86" s="1">
        <v>-0.28999999999999998</v>
      </c>
    </row>
    <row r="87" spans="1:7" x14ac:dyDescent="0.2">
      <c r="A87" t="s">
        <v>148</v>
      </c>
      <c r="B87">
        <v>900000</v>
      </c>
      <c r="C87">
        <v>2325000</v>
      </c>
      <c r="D87">
        <v>0</v>
      </c>
      <c r="E87" s="1">
        <v>0</v>
      </c>
    </row>
    <row r="88" spans="1:7" x14ac:dyDescent="0.2">
      <c r="A88" t="s">
        <v>149</v>
      </c>
      <c r="B88">
        <v>1440000</v>
      </c>
      <c r="C88">
        <v>3105000</v>
      </c>
      <c r="D88">
        <v>780000</v>
      </c>
      <c r="E88" s="1">
        <v>0.34</v>
      </c>
    </row>
    <row r="90" spans="1:7" x14ac:dyDescent="0.2">
      <c r="A90" t="s">
        <v>150</v>
      </c>
    </row>
    <row r="91" spans="1:7" x14ac:dyDescent="0.2">
      <c r="A91" t="s">
        <v>151</v>
      </c>
      <c r="B91" t="s">
        <v>152</v>
      </c>
      <c r="C91" t="s">
        <v>144</v>
      </c>
      <c r="D91" t="s">
        <v>145</v>
      </c>
      <c r="E91" t="s">
        <v>146</v>
      </c>
    </row>
    <row r="92" spans="1:7" x14ac:dyDescent="0.2">
      <c r="A92" t="s">
        <v>153</v>
      </c>
      <c r="B92">
        <v>300000</v>
      </c>
      <c r="C92">
        <v>1845000</v>
      </c>
      <c r="D92">
        <v>-480000</v>
      </c>
      <c r="E92" s="1">
        <v>-0.21</v>
      </c>
    </row>
    <row r="93" spans="1:7" x14ac:dyDescent="0.2">
      <c r="A93" t="s">
        <v>154</v>
      </c>
      <c r="B93">
        <v>750000</v>
      </c>
      <c r="C93">
        <v>2325000</v>
      </c>
      <c r="D93">
        <v>0</v>
      </c>
      <c r="E93" s="1">
        <v>0</v>
      </c>
    </row>
    <row r="94" spans="1:7" x14ac:dyDescent="0.2">
      <c r="A94" t="s">
        <v>155</v>
      </c>
      <c r="B94">
        <v>1200000</v>
      </c>
      <c r="C94">
        <v>2805000</v>
      </c>
      <c r="D94">
        <v>480000</v>
      </c>
      <c r="E94" s="1">
        <v>0.21</v>
      </c>
    </row>
    <row r="96" spans="1:7" x14ac:dyDescent="0.2">
      <c r="A96" t="s">
        <v>156</v>
      </c>
    </row>
    <row r="97" spans="1:5" x14ac:dyDescent="0.2">
      <c r="A97" t="s">
        <v>157</v>
      </c>
      <c r="B97" t="s">
        <v>158</v>
      </c>
      <c r="C97" t="s">
        <v>159</v>
      </c>
      <c r="D97" t="s">
        <v>160</v>
      </c>
      <c r="E97" t="s">
        <v>161</v>
      </c>
    </row>
    <row r="98" spans="1:5" x14ac:dyDescent="0.2">
      <c r="A98" t="s">
        <v>162</v>
      </c>
      <c r="B98" t="s">
        <v>54</v>
      </c>
      <c r="C98" t="s">
        <v>163</v>
      </c>
      <c r="D98" t="s">
        <v>164</v>
      </c>
    </row>
    <row r="99" spans="1:5" x14ac:dyDescent="0.2">
      <c r="A99" t="s">
        <v>165</v>
      </c>
      <c r="B99" t="s">
        <v>166</v>
      </c>
      <c r="C99" t="s">
        <v>167</v>
      </c>
      <c r="D99" t="s">
        <v>164</v>
      </c>
    </row>
    <row r="100" spans="1:5" x14ac:dyDescent="0.2">
      <c r="A100" t="s">
        <v>168</v>
      </c>
      <c r="B100" t="s">
        <v>169</v>
      </c>
      <c r="C100" t="s">
        <v>170</v>
      </c>
      <c r="D100" t="s">
        <v>171</v>
      </c>
      <c r="E100" t="s">
        <v>172</v>
      </c>
    </row>
    <row r="101" spans="1:5" x14ac:dyDescent="0.2">
      <c r="A101" t="s">
        <v>173</v>
      </c>
      <c r="B101" t="s">
        <v>174</v>
      </c>
      <c r="C101" t="s">
        <v>175</v>
      </c>
      <c r="D101" t="s">
        <v>164</v>
      </c>
    </row>
    <row r="102" spans="1:5" x14ac:dyDescent="0.2">
      <c r="A102" t="s">
        <v>176</v>
      </c>
      <c r="B102" t="s">
        <v>177</v>
      </c>
      <c r="C102" t="s">
        <v>175</v>
      </c>
      <c r="D102" t="s">
        <v>164</v>
      </c>
    </row>
    <row r="103" spans="1:5" x14ac:dyDescent="0.2">
      <c r="A103" t="s">
        <v>178</v>
      </c>
      <c r="B103" t="s">
        <v>179</v>
      </c>
      <c r="C103" t="s">
        <v>180</v>
      </c>
      <c r="D103" t="s">
        <v>171</v>
      </c>
      <c r="E103" t="s">
        <v>172</v>
      </c>
    </row>
    <row r="104" spans="1:5" x14ac:dyDescent="0.2">
      <c r="A104" t="s">
        <v>181</v>
      </c>
      <c r="B104" t="s">
        <v>182</v>
      </c>
      <c r="C104" t="s">
        <v>175</v>
      </c>
      <c r="D104" t="s">
        <v>164</v>
      </c>
    </row>
    <row r="105" spans="1:5" x14ac:dyDescent="0.2">
      <c r="A105" t="s">
        <v>183</v>
      </c>
      <c r="B105" t="s">
        <v>184</v>
      </c>
      <c r="C105" t="s">
        <v>175</v>
      </c>
      <c r="D105" t="s">
        <v>164</v>
      </c>
    </row>
    <row r="106" spans="1:5" x14ac:dyDescent="0.2">
      <c r="A106" t="s">
        <v>185</v>
      </c>
      <c r="B106" t="s">
        <v>186</v>
      </c>
      <c r="C106" t="s">
        <v>175</v>
      </c>
      <c r="D106" t="s">
        <v>164</v>
      </c>
    </row>
    <row r="107" spans="1:5" x14ac:dyDescent="0.2">
      <c r="A107" t="s">
        <v>187</v>
      </c>
      <c r="B107" t="s">
        <v>188</v>
      </c>
      <c r="C107" t="s">
        <v>175</v>
      </c>
      <c r="D107" t="s">
        <v>164</v>
      </c>
    </row>
    <row r="108" spans="1:5" x14ac:dyDescent="0.2">
      <c r="A108" t="s">
        <v>189</v>
      </c>
      <c r="B108" t="s">
        <v>190</v>
      </c>
      <c r="C108" t="s">
        <v>175</v>
      </c>
      <c r="D108" t="s">
        <v>164</v>
      </c>
    </row>
    <row r="109" spans="1:5" x14ac:dyDescent="0.2">
      <c r="A109" t="s">
        <v>191</v>
      </c>
      <c r="B109" t="s">
        <v>192</v>
      </c>
      <c r="C109" t="s">
        <v>175</v>
      </c>
      <c r="D109" t="s">
        <v>164</v>
      </c>
    </row>
    <row r="111" spans="1:5" x14ac:dyDescent="0.2">
      <c r="A111" t="s">
        <v>193</v>
      </c>
    </row>
    <row r="112" spans="1:5" x14ac:dyDescent="0.2">
      <c r="A112" t="s">
        <v>157</v>
      </c>
      <c r="B112" t="s">
        <v>194</v>
      </c>
      <c r="C112" t="s">
        <v>195</v>
      </c>
      <c r="D112" t="s">
        <v>196</v>
      </c>
      <c r="E112" t="s">
        <v>197</v>
      </c>
    </row>
    <row r="113" spans="1:5" x14ac:dyDescent="0.2">
      <c r="A113" t="s">
        <v>198</v>
      </c>
      <c r="B113" t="s">
        <v>199</v>
      </c>
      <c r="C113" t="s">
        <v>200</v>
      </c>
      <c r="D113" t="s">
        <v>201</v>
      </c>
      <c r="E113" t="s">
        <v>164</v>
      </c>
    </row>
    <row r="114" spans="1:5" x14ac:dyDescent="0.2">
      <c r="A114" t="s">
        <v>202</v>
      </c>
      <c r="B114" t="s">
        <v>203</v>
      </c>
      <c r="C114" t="s">
        <v>204</v>
      </c>
      <c r="D114" t="s">
        <v>205</v>
      </c>
      <c r="E114" t="s">
        <v>164</v>
      </c>
    </row>
    <row r="115" spans="1:5" x14ac:dyDescent="0.2">
      <c r="A115" t="s">
        <v>206</v>
      </c>
      <c r="B115" t="s">
        <v>154</v>
      </c>
      <c r="C115" t="s">
        <v>207</v>
      </c>
      <c r="D115" t="s">
        <v>208</v>
      </c>
      <c r="E115" t="s">
        <v>164</v>
      </c>
    </row>
    <row r="116" spans="1:5" x14ac:dyDescent="0.2">
      <c r="A116" t="s">
        <v>209</v>
      </c>
      <c r="B116" t="s">
        <v>210</v>
      </c>
      <c r="C116" t="s">
        <v>211</v>
      </c>
      <c r="D116" t="s">
        <v>208</v>
      </c>
      <c r="E116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05-roi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Vsevolod Demydov</dc:creator>
  <cp:lastModifiedBy>Vsevolod Demydov</cp:lastModifiedBy>
  <dcterms:created xsi:type="dcterms:W3CDTF">2026-06-18T11:51:54Z</dcterms:created>
  <dcterms:modified xsi:type="dcterms:W3CDTF">2026-06-18T11:51:54Z</dcterms:modified>
</cp:coreProperties>
</file>